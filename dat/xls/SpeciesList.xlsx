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eien\Studium_KIT\Master_GOEK\Masterarbeit\dat\xls\"/>
    </mc:Choice>
  </mc:AlternateContent>
  <xr:revisionPtr revIDLastSave="0" documentId="13_ncr:1_{3BA1888C-866B-4D62-BFCB-9835B09780F3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peciesID" sheetId="1" r:id="rId1"/>
    <sheet name="GenusID" sheetId="2" r:id="rId2"/>
    <sheet name="Dictionary" sheetId="3" r:id="rId3"/>
    <sheet name="Op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7" i="1" l="1"/>
  <c r="B66" i="1"/>
  <c r="B65" i="1"/>
  <c r="B64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2" i="2" a="1"/>
  <c r="B2" i="2" s="1"/>
  <c r="B19" i="1" s="1"/>
  <c r="B26" i="1" l="1"/>
  <c r="B25" i="1"/>
  <c r="B24" i="1"/>
  <c r="B12" i="1"/>
  <c r="B33" i="1"/>
  <c r="B2" i="1"/>
  <c r="B11" i="1"/>
  <c r="B3" i="1"/>
  <c r="B40" i="1"/>
  <c r="B32" i="1"/>
  <c r="B18" i="1"/>
  <c r="B10" i="1"/>
  <c r="B47" i="1"/>
  <c r="B39" i="1"/>
  <c r="B31" i="1"/>
  <c r="B23" i="1"/>
  <c r="B22" i="1"/>
  <c r="B21" i="1"/>
  <c r="B13" i="1"/>
  <c r="B34" i="1"/>
  <c r="B4" i="1"/>
  <c r="B9" i="1"/>
  <c r="B38" i="1"/>
  <c r="B8" i="1"/>
  <c r="B29" i="1"/>
  <c r="B15" i="1"/>
  <c r="B7" i="1"/>
  <c r="B44" i="1"/>
  <c r="B36" i="1"/>
  <c r="B28" i="1"/>
  <c r="B20" i="1"/>
  <c r="B5" i="1"/>
  <c r="B42" i="1"/>
  <c r="B41" i="1"/>
  <c r="B17" i="1"/>
  <c r="B46" i="1"/>
  <c r="B30" i="1"/>
  <c r="B16" i="1"/>
  <c r="B45" i="1"/>
  <c r="B37" i="1"/>
  <c r="B14" i="1"/>
  <c r="B6" i="1"/>
  <c r="B43" i="1"/>
  <c r="B35" i="1"/>
  <c r="B2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<sst xmlns="http://schemas.openxmlformats.org/spreadsheetml/2006/main" count="431" uniqueCount="188">
  <si>
    <t>SpeciesID</t>
  </si>
  <si>
    <t>Species_Name</t>
  </si>
  <si>
    <t>Genus</t>
  </si>
  <si>
    <t>Epithet</t>
  </si>
  <si>
    <t>Boscia albitrunca</t>
  </si>
  <si>
    <t>Boscia</t>
  </si>
  <si>
    <t>albitrunca</t>
  </si>
  <si>
    <t>Bridelia mollis</t>
  </si>
  <si>
    <t>Bridelia</t>
  </si>
  <si>
    <t>mollis</t>
  </si>
  <si>
    <t>Burkea africana</t>
  </si>
  <si>
    <t>Burkea</t>
  </si>
  <si>
    <t>africana</t>
  </si>
  <si>
    <t>Combretum apiculatum</t>
  </si>
  <si>
    <t>Combretum</t>
  </si>
  <si>
    <t>apiculatum</t>
  </si>
  <si>
    <t>Combretum molle</t>
  </si>
  <si>
    <t>molle</t>
  </si>
  <si>
    <t>Combretum zeyheri</t>
  </si>
  <si>
    <t>zeyheri</t>
  </si>
  <si>
    <t>Commiphora mollis</t>
  </si>
  <si>
    <t>Commiphora</t>
  </si>
  <si>
    <t>Croton gratissimus</t>
  </si>
  <si>
    <t>Croton</t>
  </si>
  <si>
    <t>gratissimus</t>
  </si>
  <si>
    <t>Dichrostachys cinerea</t>
  </si>
  <si>
    <t>Dichrostachys</t>
  </si>
  <si>
    <t>cinerea</t>
  </si>
  <si>
    <t>Diplorhynchus condylocarpon</t>
  </si>
  <si>
    <t>Diplorhynchus</t>
  </si>
  <si>
    <t>condylocarpon</t>
  </si>
  <si>
    <t>Dombeya rotundifolia</t>
  </si>
  <si>
    <t>Dombeya</t>
  </si>
  <si>
    <t>rotundifolia</t>
  </si>
  <si>
    <t>Elephantorrhiza burkei</t>
  </si>
  <si>
    <t>Elephantorrhiza</t>
  </si>
  <si>
    <t>burkei</t>
  </si>
  <si>
    <t>Englerophytum magalismontanum</t>
  </si>
  <si>
    <t>Englerophytum</t>
  </si>
  <si>
    <t>magalismontanum</t>
  </si>
  <si>
    <t>Euclea linearis</t>
  </si>
  <si>
    <t>Euclea</t>
  </si>
  <si>
    <t>linearis</t>
  </si>
  <si>
    <t>Euclea natalensis</t>
  </si>
  <si>
    <t>natalensis</t>
  </si>
  <si>
    <t>Gardenia volkensii</t>
  </si>
  <si>
    <t>Gardenia</t>
  </si>
  <si>
    <t>volkensii</t>
  </si>
  <si>
    <t>Grewia bicolor</t>
  </si>
  <si>
    <t>Grewia</t>
  </si>
  <si>
    <t>bicolor</t>
  </si>
  <si>
    <t>Grewia flava</t>
  </si>
  <si>
    <t>flava</t>
  </si>
  <si>
    <t>Grewia flavescens</t>
  </si>
  <si>
    <t>flavescens</t>
  </si>
  <si>
    <t>Grewia monticola</t>
  </si>
  <si>
    <t>monticola</t>
  </si>
  <si>
    <t>Grewia rogersii</t>
  </si>
  <si>
    <t>rogersii</t>
  </si>
  <si>
    <t>Gymnosporia tenuispina</t>
  </si>
  <si>
    <t>Gymnosporia</t>
  </si>
  <si>
    <t>tenuispina</t>
  </si>
  <si>
    <t>Heteropyxis natalensis</t>
  </si>
  <si>
    <t>Heteropyxis</t>
  </si>
  <si>
    <t>Hexalobus monopetalus</t>
  </si>
  <si>
    <t>Hexalobus</t>
  </si>
  <si>
    <t>monopetalus</t>
  </si>
  <si>
    <t>Kirkia acuminata</t>
  </si>
  <si>
    <t>Kirkia</t>
  </si>
  <si>
    <t>acuminata</t>
  </si>
  <si>
    <t>Lannea discolor</t>
  </si>
  <si>
    <t>Lannea</t>
  </si>
  <si>
    <t>discolor</t>
  </si>
  <si>
    <t>Mundulea sericea</t>
  </si>
  <si>
    <t>Mundulea</t>
  </si>
  <si>
    <t>sericea</t>
  </si>
  <si>
    <t>Myrothamnus flabellifolius</t>
  </si>
  <si>
    <t>Myrothamnus</t>
  </si>
  <si>
    <t>flabellifolius</t>
  </si>
  <si>
    <t>Ochna pulchra</t>
  </si>
  <si>
    <t>Ochna</t>
  </si>
  <si>
    <t>pulchra</t>
  </si>
  <si>
    <t>Ochna serrulata</t>
  </si>
  <si>
    <t>serrulata</t>
  </si>
  <si>
    <t>Ozoroa paniculosa</t>
  </si>
  <si>
    <t>Ozoroa</t>
  </si>
  <si>
    <t>paniculosa</t>
  </si>
  <si>
    <t>Pavetta zeyheri</t>
  </si>
  <si>
    <t>Pavetta</t>
  </si>
  <si>
    <t>Peltophorum africanum</t>
  </si>
  <si>
    <t>Peltophorum</t>
  </si>
  <si>
    <t>africanum</t>
  </si>
  <si>
    <t>Pseudolachnostylis maprouneifolia</t>
  </si>
  <si>
    <t>Pseudolachnostylis</t>
  </si>
  <si>
    <t>maprouneifolia</t>
  </si>
  <si>
    <t>Pterocarpus rotundifolius</t>
  </si>
  <si>
    <t>Pterocarpus</t>
  </si>
  <si>
    <t>rotundifolius</t>
  </si>
  <si>
    <t>Rhoicissus revoilii</t>
  </si>
  <si>
    <t>Rhoicissus</t>
  </si>
  <si>
    <t>revoilii</t>
  </si>
  <si>
    <t>Sclerocarya birrea</t>
  </si>
  <si>
    <t>Sclerocarya</t>
  </si>
  <si>
    <t>birrea</t>
  </si>
  <si>
    <t>Senegalia nigrescens</t>
  </si>
  <si>
    <t>Senegalia</t>
  </si>
  <si>
    <t>nigrescens</t>
  </si>
  <si>
    <t>Strychnos madagascariensis</t>
  </si>
  <si>
    <t>Strychnos</t>
  </si>
  <si>
    <t>madagascariensis</t>
  </si>
  <si>
    <t>Terminalia sericea</t>
  </si>
  <si>
    <t>Terminalia</t>
  </si>
  <si>
    <t>Vangueria</t>
  </si>
  <si>
    <t>Vangueria parvifolia</t>
  </si>
  <si>
    <t>parvifolia</t>
  </si>
  <si>
    <t>Vitex pooara</t>
  </si>
  <si>
    <t>Vitex</t>
  </si>
  <si>
    <t>pooara</t>
  </si>
  <si>
    <t>Vitex rehmannii</t>
  </si>
  <si>
    <t>rehmannii</t>
  </si>
  <si>
    <t>Ximenia caffra</t>
  </si>
  <si>
    <t>Ximenia</t>
  </si>
  <si>
    <t>caffra</t>
  </si>
  <si>
    <t>Ziziphus mucronata</t>
  </si>
  <si>
    <t>Ziziphus</t>
  </si>
  <si>
    <t>mucronata</t>
  </si>
  <si>
    <t>GenusID</t>
  </si>
  <si>
    <t>Genus_List</t>
  </si>
  <si>
    <t>Class</t>
  </si>
  <si>
    <t>Dead wood</t>
  </si>
  <si>
    <t>Pappea</t>
  </si>
  <si>
    <t>capensis</t>
  </si>
  <si>
    <t>Pappea capensis</t>
  </si>
  <si>
    <t>Rothmannia capensis</t>
  </si>
  <si>
    <t>Rothmannia</t>
  </si>
  <si>
    <t>Searsia dentata</t>
  </si>
  <si>
    <t>Vangueria triflora</t>
  </si>
  <si>
    <t>triflora</t>
  </si>
  <si>
    <t>Searsia</t>
  </si>
  <si>
    <t>dentata</t>
  </si>
  <si>
    <t>Ehretia rigida</t>
  </si>
  <si>
    <t>Ehretia</t>
  </si>
  <si>
    <t>rigida</t>
  </si>
  <si>
    <t>Berchemia zeyheri</t>
  </si>
  <si>
    <t>Afrocanthium mundianum</t>
  </si>
  <si>
    <t>Strychnos pungens</t>
  </si>
  <si>
    <t>Strychnos cocculoides</t>
  </si>
  <si>
    <t>Strychnos spinosa</t>
  </si>
  <si>
    <t>Mimusops zeyheri</t>
  </si>
  <si>
    <t>Psiadia punctulata</t>
  </si>
  <si>
    <t>Vachellia tortilis</t>
  </si>
  <si>
    <t>Vangueria madagascariensis</t>
  </si>
  <si>
    <t>Ptaeroxylon obliquum</t>
  </si>
  <si>
    <t>Schotia brachypetala</t>
  </si>
  <si>
    <t>Brachylaena rotundata</t>
  </si>
  <si>
    <t>Afrocanthium</t>
  </si>
  <si>
    <t>mundianum</t>
  </si>
  <si>
    <t>Berchemia</t>
  </si>
  <si>
    <t>Brachylaena</t>
  </si>
  <si>
    <t>rotundata</t>
  </si>
  <si>
    <t>Mimusops</t>
  </si>
  <si>
    <t>Psiadia</t>
  </si>
  <si>
    <t>punctulata</t>
  </si>
  <si>
    <t>Ptaeroxylon</t>
  </si>
  <si>
    <t>obliquum</t>
  </si>
  <si>
    <t>Schotia</t>
  </si>
  <si>
    <t>brachypetala</t>
  </si>
  <si>
    <t>cocculoides</t>
  </si>
  <si>
    <t>pungens</t>
  </si>
  <si>
    <t>spinosa</t>
  </si>
  <si>
    <t>Vachellia</t>
  </si>
  <si>
    <t>tortilis</t>
  </si>
  <si>
    <t>Ancylobothrys capensis</t>
  </si>
  <si>
    <t>Ancylobothrys</t>
  </si>
  <si>
    <t>Searsia leptodictya</t>
  </si>
  <si>
    <t>leptodictya</t>
  </si>
  <si>
    <t>americana</t>
  </si>
  <si>
    <t>Ximenia americana</t>
  </si>
  <si>
    <t>Senegalif cf burkei</t>
  </si>
  <si>
    <t>Block_1</t>
  </si>
  <si>
    <t>Block_2</t>
  </si>
  <si>
    <t>Block_3</t>
  </si>
  <si>
    <t>Block_4</t>
  </si>
  <si>
    <t>Block_5</t>
  </si>
  <si>
    <t>Block_6</t>
  </si>
  <si>
    <t>Block_7</t>
  </si>
  <si>
    <t>Block_8</t>
  </si>
  <si>
    <t>Presence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</si>
</sst>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0" xfId="0" applyBorder="1"/>
    <xf numFmtId="0" fontId="0" fillId="0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workbookViewId="0">
      <selection activeCell="C67" sqref="C67:E67"/>
    </sheetView>
  </sheetViews>
  <sheetFormatPr defaultRowHeight="15" x14ac:dyDescent="0.25"/>
  <cols>
    <col min="1" max="1" width="9.5703125" bestFit="1" customWidth="1"/>
    <col min="2" max="2" width="9.5703125" customWidth="1"/>
    <col min="3" max="3" width="32.85546875" bestFit="1" customWidth="1"/>
    <col min="4" max="4" width="18.28515625" bestFit="1" customWidth="1"/>
    <col min="5" max="5" width="17.7109375" bestFit="1" customWidth="1"/>
  </cols>
  <sheetData>
    <row r="1" spans="1:5" x14ac:dyDescent="0.25">
      <c r="A1" s="1" t="s">
        <v>0</v>
      </c>
      <c r="B1" s="1" t="s">
        <v>126</v>
      </c>
      <c r="C1" s="1" t="s">
        <v>1</v>
      </c>
      <c r="D1" s="1" t="s">
        <v>2</v>
      </c>
      <c r="E1" s="1" t="s">
        <v>3</v>
      </c>
    </row>
    <row r="2" spans="1:5" x14ac:dyDescent="0.25">
      <c r="A2">
        <v>1</v>
      </c>
      <c r="B2">
        <f>_xlfn.XLOOKUP(D2,GenusID!B:B,GenusID!A:A)</f>
        <v>1</v>
      </c>
      <c r="C2" t="s">
        <v>4</v>
      </c>
      <c r="D2" t="s">
        <v>5</v>
      </c>
      <c r="E2" t="s">
        <v>6</v>
      </c>
    </row>
    <row r="3" spans="1:5" x14ac:dyDescent="0.25">
      <c r="A3">
        <v>2</v>
      </c>
      <c r="B3">
        <f>_xlfn.XLOOKUP(D3,GenusID!B:B,GenusID!A:A)</f>
        <v>2</v>
      </c>
      <c r="C3" t="s">
        <v>7</v>
      </c>
      <c r="D3" t="s">
        <v>8</v>
      </c>
      <c r="E3" t="s">
        <v>9</v>
      </c>
    </row>
    <row r="4" spans="1:5" x14ac:dyDescent="0.25">
      <c r="A4">
        <v>3</v>
      </c>
      <c r="B4">
        <f>_xlfn.XLOOKUP(D4,GenusID!B:B,GenusID!A:A)</f>
        <v>3</v>
      </c>
      <c r="C4" t="s">
        <v>10</v>
      </c>
      <c r="D4" t="s">
        <v>11</v>
      </c>
      <c r="E4" t="s">
        <v>12</v>
      </c>
    </row>
    <row r="5" spans="1:5" x14ac:dyDescent="0.25">
      <c r="A5">
        <v>4</v>
      </c>
      <c r="B5">
        <f>_xlfn.XLOOKUP(D5,GenusID!B:B,GenusID!A:A)</f>
        <v>4</v>
      </c>
      <c r="C5" t="s">
        <v>13</v>
      </c>
      <c r="D5" t="s">
        <v>14</v>
      </c>
      <c r="E5" t="s">
        <v>15</v>
      </c>
    </row>
    <row r="6" spans="1:5" x14ac:dyDescent="0.25">
      <c r="A6">
        <v>5</v>
      </c>
      <c r="B6">
        <f>_xlfn.XLOOKUP(D6,GenusID!B:B,GenusID!A:A)</f>
        <v>4</v>
      </c>
      <c r="C6" t="s">
        <v>16</v>
      </c>
      <c r="D6" t="s">
        <v>14</v>
      </c>
      <c r="E6" t="s">
        <v>17</v>
      </c>
    </row>
    <row r="7" spans="1:5" x14ac:dyDescent="0.25">
      <c r="A7">
        <v>6</v>
      </c>
      <c r="B7">
        <f>_xlfn.XLOOKUP(D7,GenusID!B:B,GenusID!A:A)</f>
        <v>4</v>
      </c>
      <c r="C7" t="s">
        <v>18</v>
      </c>
      <c r="D7" t="s">
        <v>14</v>
      </c>
      <c r="E7" t="s">
        <v>19</v>
      </c>
    </row>
    <row r="8" spans="1:5" x14ac:dyDescent="0.25">
      <c r="A8">
        <v>7</v>
      </c>
      <c r="B8">
        <f>_xlfn.XLOOKUP(D8,GenusID!B:B,GenusID!A:A)</f>
        <v>5</v>
      </c>
      <c r="C8" t="s">
        <v>20</v>
      </c>
      <c r="D8" t="s">
        <v>21</v>
      </c>
      <c r="E8" t="s">
        <v>9</v>
      </c>
    </row>
    <row r="9" spans="1:5" x14ac:dyDescent="0.25">
      <c r="A9">
        <v>8</v>
      </c>
      <c r="B9">
        <f>_xlfn.XLOOKUP(D9,GenusID!B:B,GenusID!A:A)</f>
        <v>6</v>
      </c>
      <c r="C9" t="s">
        <v>22</v>
      </c>
      <c r="D9" t="s">
        <v>23</v>
      </c>
      <c r="E9" t="s">
        <v>24</v>
      </c>
    </row>
    <row r="10" spans="1:5" x14ac:dyDescent="0.25">
      <c r="A10">
        <v>9</v>
      </c>
      <c r="B10">
        <f>_xlfn.XLOOKUP(D10,GenusID!B:B,GenusID!A:A)</f>
        <v>7</v>
      </c>
      <c r="C10" t="s">
        <v>25</v>
      </c>
      <c r="D10" t="s">
        <v>26</v>
      </c>
      <c r="E10" t="s">
        <v>27</v>
      </c>
    </row>
    <row r="11" spans="1:5" x14ac:dyDescent="0.25">
      <c r="A11">
        <v>10</v>
      </c>
      <c r="B11">
        <f>_xlfn.XLOOKUP(D11,GenusID!B:B,GenusID!A:A)</f>
        <v>8</v>
      </c>
      <c r="C11" t="s">
        <v>28</v>
      </c>
      <c r="D11" t="s">
        <v>29</v>
      </c>
      <c r="E11" t="s">
        <v>30</v>
      </c>
    </row>
    <row r="12" spans="1:5" x14ac:dyDescent="0.25">
      <c r="A12">
        <v>11</v>
      </c>
      <c r="B12">
        <f>_xlfn.XLOOKUP(D12,GenusID!B:B,GenusID!A:A)</f>
        <v>9</v>
      </c>
      <c r="C12" t="s">
        <v>31</v>
      </c>
      <c r="D12" t="s">
        <v>32</v>
      </c>
      <c r="E12" t="s">
        <v>33</v>
      </c>
    </row>
    <row r="13" spans="1:5" x14ac:dyDescent="0.25">
      <c r="A13">
        <v>12</v>
      </c>
      <c r="B13">
        <f>_xlfn.XLOOKUP(D13,GenusID!B:B,GenusID!A:A)</f>
        <v>10</v>
      </c>
      <c r="C13" t="s">
        <v>34</v>
      </c>
      <c r="D13" t="s">
        <v>35</v>
      </c>
      <c r="E13" t="s">
        <v>36</v>
      </c>
    </row>
    <row r="14" spans="1:5" x14ac:dyDescent="0.25">
      <c r="A14">
        <v>13</v>
      </c>
      <c r="B14">
        <f>_xlfn.XLOOKUP(D14,GenusID!B:B,GenusID!A:A)</f>
        <v>11</v>
      </c>
      <c r="C14" t="s">
        <v>37</v>
      </c>
      <c r="D14" t="s">
        <v>38</v>
      </c>
      <c r="E14" t="s">
        <v>39</v>
      </c>
    </row>
    <row r="15" spans="1:5" x14ac:dyDescent="0.25">
      <c r="A15">
        <v>14</v>
      </c>
      <c r="B15">
        <f>_xlfn.XLOOKUP(D15,GenusID!B:B,GenusID!A:A)</f>
        <v>12</v>
      </c>
      <c r="C15" t="s">
        <v>40</v>
      </c>
      <c r="D15" t="s">
        <v>41</v>
      </c>
      <c r="E15" t="s">
        <v>42</v>
      </c>
    </row>
    <row r="16" spans="1:5" x14ac:dyDescent="0.25">
      <c r="A16">
        <v>15</v>
      </c>
      <c r="B16">
        <f>_xlfn.XLOOKUP(D16,GenusID!B:B,GenusID!A:A)</f>
        <v>12</v>
      </c>
      <c r="C16" t="s">
        <v>43</v>
      </c>
      <c r="D16" t="s">
        <v>41</v>
      </c>
      <c r="E16" t="s">
        <v>44</v>
      </c>
    </row>
    <row r="17" spans="1:5" x14ac:dyDescent="0.25">
      <c r="A17">
        <v>16</v>
      </c>
      <c r="B17">
        <f>_xlfn.XLOOKUP(D17,GenusID!B:B,GenusID!A:A)</f>
        <v>13</v>
      </c>
      <c r="C17" t="s">
        <v>45</v>
      </c>
      <c r="D17" t="s">
        <v>46</v>
      </c>
      <c r="E17" t="s">
        <v>47</v>
      </c>
    </row>
    <row r="18" spans="1:5" x14ac:dyDescent="0.25">
      <c r="A18">
        <v>17</v>
      </c>
      <c r="B18">
        <f>_xlfn.XLOOKUP(D18,GenusID!B:B,GenusID!A:A)</f>
        <v>14</v>
      </c>
      <c r="C18" t="s">
        <v>48</v>
      </c>
      <c r="D18" t="s">
        <v>49</v>
      </c>
      <c r="E18" t="s">
        <v>50</v>
      </c>
    </row>
    <row r="19" spans="1:5" x14ac:dyDescent="0.25">
      <c r="A19">
        <v>18</v>
      </c>
      <c r="B19">
        <f>_xlfn.XLOOKUP(D19,GenusID!B:B,GenusID!A:A)</f>
        <v>14</v>
      </c>
      <c r="C19" t="s">
        <v>51</v>
      </c>
      <c r="D19" t="s">
        <v>49</v>
      </c>
      <c r="E19" t="s">
        <v>52</v>
      </c>
    </row>
    <row r="20" spans="1:5" x14ac:dyDescent="0.25">
      <c r="A20">
        <v>19</v>
      </c>
      <c r="B20">
        <f>_xlfn.XLOOKUP(D20,GenusID!B:B,GenusID!A:A)</f>
        <v>14</v>
      </c>
      <c r="C20" t="s">
        <v>53</v>
      </c>
      <c r="D20" t="s">
        <v>49</v>
      </c>
      <c r="E20" t="s">
        <v>54</v>
      </c>
    </row>
    <row r="21" spans="1:5" x14ac:dyDescent="0.25">
      <c r="A21">
        <v>20</v>
      </c>
      <c r="B21">
        <f>_xlfn.XLOOKUP(D21,GenusID!B:B,GenusID!A:A)</f>
        <v>14</v>
      </c>
      <c r="C21" t="s">
        <v>55</v>
      </c>
      <c r="D21" t="s">
        <v>49</v>
      </c>
      <c r="E21" t="s">
        <v>56</v>
      </c>
    </row>
    <row r="22" spans="1:5" x14ac:dyDescent="0.25">
      <c r="A22">
        <v>21</v>
      </c>
      <c r="B22">
        <f>_xlfn.XLOOKUP(D22,GenusID!B:B,GenusID!A:A)</f>
        <v>14</v>
      </c>
      <c r="C22" t="s">
        <v>57</v>
      </c>
      <c r="D22" t="s">
        <v>49</v>
      </c>
      <c r="E22" t="s">
        <v>58</v>
      </c>
    </row>
    <row r="23" spans="1:5" x14ac:dyDescent="0.25">
      <c r="A23">
        <v>22</v>
      </c>
      <c r="B23">
        <f>_xlfn.XLOOKUP(D23,GenusID!B:B,GenusID!A:A)</f>
        <v>15</v>
      </c>
      <c r="C23" t="s">
        <v>59</v>
      </c>
      <c r="D23" t="s">
        <v>60</v>
      </c>
      <c r="E23" t="s">
        <v>61</v>
      </c>
    </row>
    <row r="24" spans="1:5" x14ac:dyDescent="0.25">
      <c r="A24">
        <v>23</v>
      </c>
      <c r="B24">
        <f>_xlfn.XLOOKUP(D24,GenusID!B:B,GenusID!A:A)</f>
        <v>16</v>
      </c>
      <c r="C24" t="s">
        <v>62</v>
      </c>
      <c r="D24" t="s">
        <v>63</v>
      </c>
      <c r="E24" t="s">
        <v>44</v>
      </c>
    </row>
    <row r="25" spans="1:5" x14ac:dyDescent="0.25">
      <c r="A25">
        <v>24</v>
      </c>
      <c r="B25">
        <f>_xlfn.XLOOKUP(D25,GenusID!B:B,GenusID!A:A)</f>
        <v>17</v>
      </c>
      <c r="C25" t="s">
        <v>64</v>
      </c>
      <c r="D25" t="s">
        <v>65</v>
      </c>
      <c r="E25" t="s">
        <v>66</v>
      </c>
    </row>
    <row r="26" spans="1:5" x14ac:dyDescent="0.25">
      <c r="A26">
        <v>25</v>
      </c>
      <c r="B26">
        <f>_xlfn.XLOOKUP(D26,GenusID!B:B,GenusID!A:A)</f>
        <v>18</v>
      </c>
      <c r="C26" t="s">
        <v>67</v>
      </c>
      <c r="D26" t="s">
        <v>68</v>
      </c>
      <c r="E26" t="s">
        <v>69</v>
      </c>
    </row>
    <row r="27" spans="1:5" x14ac:dyDescent="0.25">
      <c r="A27">
        <v>26</v>
      </c>
      <c r="B27">
        <f>_xlfn.XLOOKUP(D27,GenusID!B:B,GenusID!A:A)</f>
        <v>19</v>
      </c>
      <c r="C27" t="s">
        <v>70</v>
      </c>
      <c r="D27" t="s">
        <v>71</v>
      </c>
      <c r="E27" t="s">
        <v>72</v>
      </c>
    </row>
    <row r="28" spans="1:5" x14ac:dyDescent="0.25">
      <c r="A28">
        <v>27</v>
      </c>
      <c r="B28">
        <f>_xlfn.XLOOKUP(D28,GenusID!B:B,GenusID!A:A)</f>
        <v>20</v>
      </c>
      <c r="C28" t="s">
        <v>73</v>
      </c>
      <c r="D28" t="s">
        <v>74</v>
      </c>
      <c r="E28" t="s">
        <v>75</v>
      </c>
    </row>
    <row r="29" spans="1:5" x14ac:dyDescent="0.25">
      <c r="A29">
        <v>28</v>
      </c>
      <c r="B29">
        <f>_xlfn.XLOOKUP(D29,GenusID!B:B,GenusID!A:A)</f>
        <v>21</v>
      </c>
      <c r="C29" t="s">
        <v>76</v>
      </c>
      <c r="D29" t="s">
        <v>77</v>
      </c>
      <c r="E29" t="s">
        <v>78</v>
      </c>
    </row>
    <row r="30" spans="1:5" x14ac:dyDescent="0.25">
      <c r="A30">
        <v>29</v>
      </c>
      <c r="B30">
        <f>_xlfn.XLOOKUP(D30,GenusID!B:B,GenusID!A:A)</f>
        <v>22</v>
      </c>
      <c r="C30" t="s">
        <v>79</v>
      </c>
      <c r="D30" t="s">
        <v>80</v>
      </c>
      <c r="E30" t="s">
        <v>81</v>
      </c>
    </row>
    <row r="31" spans="1:5" x14ac:dyDescent="0.25">
      <c r="A31">
        <v>30</v>
      </c>
      <c r="B31">
        <f>_xlfn.XLOOKUP(D31,GenusID!B:B,GenusID!A:A)</f>
        <v>22</v>
      </c>
      <c r="C31" t="s">
        <v>82</v>
      </c>
      <c r="D31" t="s">
        <v>80</v>
      </c>
      <c r="E31" t="s">
        <v>83</v>
      </c>
    </row>
    <row r="32" spans="1:5" x14ac:dyDescent="0.25">
      <c r="A32">
        <v>31</v>
      </c>
      <c r="B32">
        <f>_xlfn.XLOOKUP(D32,GenusID!B:B,GenusID!A:A)</f>
        <v>23</v>
      </c>
      <c r="C32" t="s">
        <v>84</v>
      </c>
      <c r="D32" t="s">
        <v>85</v>
      </c>
      <c r="E32" t="s">
        <v>86</v>
      </c>
    </row>
    <row r="33" spans="1:5" x14ac:dyDescent="0.25">
      <c r="A33">
        <v>32</v>
      </c>
      <c r="B33">
        <f>_xlfn.XLOOKUP(D33,GenusID!B:B,GenusID!A:A)</f>
        <v>24</v>
      </c>
      <c r="C33" t="s">
        <v>87</v>
      </c>
      <c r="D33" t="s">
        <v>88</v>
      </c>
      <c r="E33" t="s">
        <v>19</v>
      </c>
    </row>
    <row r="34" spans="1:5" x14ac:dyDescent="0.25">
      <c r="A34">
        <v>33</v>
      </c>
      <c r="B34">
        <f>_xlfn.XLOOKUP(D34,GenusID!B:B,GenusID!A:A)</f>
        <v>25</v>
      </c>
      <c r="C34" t="s">
        <v>89</v>
      </c>
      <c r="D34" t="s">
        <v>90</v>
      </c>
      <c r="E34" t="s">
        <v>91</v>
      </c>
    </row>
    <row r="35" spans="1:5" x14ac:dyDescent="0.25">
      <c r="A35">
        <v>34</v>
      </c>
      <c r="B35">
        <f>_xlfn.XLOOKUP(D35,GenusID!B:B,GenusID!A:A)</f>
        <v>26</v>
      </c>
      <c r="C35" t="s">
        <v>92</v>
      </c>
      <c r="D35" t="s">
        <v>93</v>
      </c>
      <c r="E35" t="s">
        <v>94</v>
      </c>
    </row>
    <row r="36" spans="1:5" x14ac:dyDescent="0.25">
      <c r="A36">
        <v>35</v>
      </c>
      <c r="B36">
        <f>_xlfn.XLOOKUP(D36,GenusID!B:B,GenusID!A:A)</f>
        <v>27</v>
      </c>
      <c r="C36" t="s">
        <v>95</v>
      </c>
      <c r="D36" t="s">
        <v>96</v>
      </c>
      <c r="E36" t="s">
        <v>97</v>
      </c>
    </row>
    <row r="37" spans="1:5" x14ac:dyDescent="0.25">
      <c r="A37">
        <v>36</v>
      </c>
      <c r="B37">
        <f>_xlfn.XLOOKUP(D37,GenusID!B:B,GenusID!A:A)</f>
        <v>28</v>
      </c>
      <c r="C37" t="s">
        <v>98</v>
      </c>
      <c r="D37" t="s">
        <v>99</v>
      </c>
      <c r="E37" t="s">
        <v>100</v>
      </c>
    </row>
    <row r="38" spans="1:5" x14ac:dyDescent="0.25">
      <c r="A38">
        <v>37</v>
      </c>
      <c r="B38">
        <f>_xlfn.XLOOKUP(D38,GenusID!B:B,GenusID!A:A)</f>
        <v>29</v>
      </c>
      <c r="C38" t="s">
        <v>101</v>
      </c>
      <c r="D38" t="s">
        <v>102</v>
      </c>
      <c r="E38" t="s">
        <v>103</v>
      </c>
    </row>
    <row r="39" spans="1:5" x14ac:dyDescent="0.25">
      <c r="A39">
        <v>38</v>
      </c>
      <c r="B39">
        <f>_xlfn.XLOOKUP(D39,GenusID!B:B,GenusID!A:A)</f>
        <v>30</v>
      </c>
      <c r="C39" t="s">
        <v>104</v>
      </c>
      <c r="D39" t="s">
        <v>105</v>
      </c>
      <c r="E39" t="s">
        <v>106</v>
      </c>
    </row>
    <row r="40" spans="1:5" x14ac:dyDescent="0.25">
      <c r="A40">
        <v>39</v>
      </c>
      <c r="B40">
        <f>_xlfn.XLOOKUP(D40,GenusID!B:B,GenusID!A:A)</f>
        <v>31</v>
      </c>
      <c r="C40" t="s">
        <v>107</v>
      </c>
      <c r="D40" t="s">
        <v>108</v>
      </c>
      <c r="E40" t="s">
        <v>109</v>
      </c>
    </row>
    <row r="41" spans="1:5" x14ac:dyDescent="0.25">
      <c r="A41">
        <v>40</v>
      </c>
      <c r="B41">
        <f>_xlfn.XLOOKUP(D41,GenusID!B:B,GenusID!A:A)</f>
        <v>32</v>
      </c>
      <c r="C41" t="s">
        <v>110</v>
      </c>
      <c r="D41" t="s">
        <v>111</v>
      </c>
      <c r="E41" t="s">
        <v>75</v>
      </c>
    </row>
    <row r="42" spans="1:5" x14ac:dyDescent="0.25">
      <c r="A42">
        <v>41</v>
      </c>
      <c r="B42">
        <f>_xlfn.XLOOKUP(D42,GenusID!B:B,GenusID!A:A)</f>
        <v>33</v>
      </c>
      <c r="C42" t="s">
        <v>113</v>
      </c>
      <c r="D42" t="s">
        <v>112</v>
      </c>
      <c r="E42" t="s">
        <v>114</v>
      </c>
    </row>
    <row r="43" spans="1:5" x14ac:dyDescent="0.25">
      <c r="A43">
        <v>42</v>
      </c>
      <c r="B43">
        <f>_xlfn.XLOOKUP(D43,GenusID!B:B,GenusID!A:A)</f>
        <v>33</v>
      </c>
      <c r="C43" t="s">
        <v>136</v>
      </c>
      <c r="D43" t="s">
        <v>112</v>
      </c>
      <c r="E43" t="s">
        <v>137</v>
      </c>
    </row>
    <row r="44" spans="1:5" x14ac:dyDescent="0.25">
      <c r="A44">
        <v>43</v>
      </c>
      <c r="B44">
        <f>_xlfn.XLOOKUP(D44,GenusID!B:B,GenusID!A:A)</f>
        <v>34</v>
      </c>
      <c r="C44" t="s">
        <v>115</v>
      </c>
      <c r="D44" t="s">
        <v>116</v>
      </c>
      <c r="E44" t="s">
        <v>117</v>
      </c>
    </row>
    <row r="45" spans="1:5" x14ac:dyDescent="0.25">
      <c r="A45">
        <v>44</v>
      </c>
      <c r="B45">
        <f>_xlfn.XLOOKUP(D45,GenusID!B:B,GenusID!A:A)</f>
        <v>34</v>
      </c>
      <c r="C45" t="s">
        <v>118</v>
      </c>
      <c r="D45" t="s">
        <v>116</v>
      </c>
      <c r="E45" t="s">
        <v>119</v>
      </c>
    </row>
    <row r="46" spans="1:5" x14ac:dyDescent="0.25">
      <c r="A46">
        <v>45</v>
      </c>
      <c r="B46">
        <f>_xlfn.XLOOKUP(D46,GenusID!B:B,GenusID!A:A)</f>
        <v>35</v>
      </c>
      <c r="C46" t="s">
        <v>120</v>
      </c>
      <c r="D46" t="s">
        <v>121</v>
      </c>
      <c r="E46" t="s">
        <v>122</v>
      </c>
    </row>
    <row r="47" spans="1:5" x14ac:dyDescent="0.25">
      <c r="A47">
        <v>46</v>
      </c>
      <c r="B47">
        <f>_xlfn.XLOOKUP(D47,GenusID!B:B,GenusID!A:A)</f>
        <v>36</v>
      </c>
      <c r="C47" t="s">
        <v>123</v>
      </c>
      <c r="D47" t="s">
        <v>124</v>
      </c>
      <c r="E47" t="s">
        <v>125</v>
      </c>
    </row>
    <row r="48" spans="1:5" x14ac:dyDescent="0.25">
      <c r="A48">
        <v>47</v>
      </c>
      <c r="B48">
        <f>_xlfn.XLOOKUP(D48,GenusID!B:B,GenusID!A:A)</f>
        <v>37</v>
      </c>
      <c r="C48" t="s">
        <v>132</v>
      </c>
      <c r="D48" t="s">
        <v>130</v>
      </c>
      <c r="E48" t="s">
        <v>131</v>
      </c>
    </row>
    <row r="49" spans="1:5" x14ac:dyDescent="0.25">
      <c r="A49">
        <v>48</v>
      </c>
      <c r="B49">
        <f>_xlfn.XLOOKUP(D49,GenusID!B:B,GenusID!A:A)</f>
        <v>38</v>
      </c>
      <c r="C49" t="s">
        <v>133</v>
      </c>
      <c r="D49" t="s">
        <v>134</v>
      </c>
      <c r="E49" t="s">
        <v>131</v>
      </c>
    </row>
    <row r="50" spans="1:5" x14ac:dyDescent="0.25">
      <c r="A50">
        <v>49</v>
      </c>
      <c r="B50">
        <f>_xlfn.XLOOKUP(D50,GenusID!B:B,GenusID!A:A)</f>
        <v>39</v>
      </c>
      <c r="C50" t="s">
        <v>135</v>
      </c>
      <c r="D50" t="s">
        <v>138</v>
      </c>
      <c r="E50" t="s">
        <v>139</v>
      </c>
    </row>
    <row r="51" spans="1:5" x14ac:dyDescent="0.25">
      <c r="A51">
        <v>50</v>
      </c>
      <c r="B51">
        <f>_xlfn.XLOOKUP(D51,GenusID!B:B,GenusID!A:A)</f>
        <v>40</v>
      </c>
      <c r="C51" t="s">
        <v>140</v>
      </c>
      <c r="D51" t="s">
        <v>141</v>
      </c>
      <c r="E51" t="s">
        <v>142</v>
      </c>
    </row>
    <row r="52" spans="1:5" x14ac:dyDescent="0.25">
      <c r="A52">
        <v>51</v>
      </c>
      <c r="B52">
        <f>_xlfn.XLOOKUP(D52,GenusID!B:B,GenusID!A:A)</f>
        <v>41</v>
      </c>
      <c r="C52" t="s">
        <v>144</v>
      </c>
      <c r="D52" t="s">
        <v>155</v>
      </c>
      <c r="E52" t="s">
        <v>156</v>
      </c>
    </row>
    <row r="53" spans="1:5" x14ac:dyDescent="0.25">
      <c r="A53">
        <v>52</v>
      </c>
      <c r="B53">
        <f>_xlfn.XLOOKUP(D53,GenusID!B:B,GenusID!A:A)</f>
        <v>42</v>
      </c>
      <c r="C53" t="s">
        <v>143</v>
      </c>
      <c r="D53" t="s">
        <v>157</v>
      </c>
      <c r="E53" t="s">
        <v>19</v>
      </c>
    </row>
    <row r="54" spans="1:5" x14ac:dyDescent="0.25">
      <c r="A54">
        <v>53</v>
      </c>
      <c r="B54">
        <f>_xlfn.XLOOKUP(D54,GenusID!B:B,GenusID!A:A)</f>
        <v>43</v>
      </c>
      <c r="C54" t="s">
        <v>154</v>
      </c>
      <c r="D54" t="s">
        <v>158</v>
      </c>
      <c r="E54" t="s">
        <v>159</v>
      </c>
    </row>
    <row r="55" spans="1:5" x14ac:dyDescent="0.25">
      <c r="A55">
        <v>54</v>
      </c>
      <c r="B55">
        <f>_xlfn.XLOOKUP(D55,GenusID!B:B,GenusID!A:A)</f>
        <v>44</v>
      </c>
      <c r="C55" t="s">
        <v>148</v>
      </c>
      <c r="D55" t="s">
        <v>160</v>
      </c>
      <c r="E55" t="s">
        <v>19</v>
      </c>
    </row>
    <row r="56" spans="1:5" x14ac:dyDescent="0.25">
      <c r="A56">
        <v>55</v>
      </c>
      <c r="B56">
        <f>_xlfn.XLOOKUP(D56,GenusID!B:B,GenusID!A:A)</f>
        <v>45</v>
      </c>
      <c r="C56" t="s">
        <v>149</v>
      </c>
      <c r="D56" t="s">
        <v>161</v>
      </c>
      <c r="E56" t="s">
        <v>162</v>
      </c>
    </row>
    <row r="57" spans="1:5" x14ac:dyDescent="0.25">
      <c r="A57">
        <v>56</v>
      </c>
      <c r="B57">
        <f>_xlfn.XLOOKUP(D57,GenusID!B:B,GenusID!A:A)</f>
        <v>46</v>
      </c>
      <c r="C57" t="s">
        <v>152</v>
      </c>
      <c r="D57" t="s">
        <v>163</v>
      </c>
      <c r="E57" t="s">
        <v>164</v>
      </c>
    </row>
    <row r="58" spans="1:5" x14ac:dyDescent="0.25">
      <c r="A58">
        <v>57</v>
      </c>
      <c r="B58">
        <f>_xlfn.XLOOKUP(D58,GenusID!B:B,GenusID!A:A)</f>
        <v>47</v>
      </c>
      <c r="C58" t="s">
        <v>153</v>
      </c>
      <c r="D58" t="s">
        <v>165</v>
      </c>
      <c r="E58" t="s">
        <v>166</v>
      </c>
    </row>
    <row r="59" spans="1:5" x14ac:dyDescent="0.25">
      <c r="A59">
        <v>58</v>
      </c>
      <c r="B59">
        <f>_xlfn.XLOOKUP(D59,GenusID!B:B,GenusID!A:A)</f>
        <v>31</v>
      </c>
      <c r="C59" t="s">
        <v>146</v>
      </c>
      <c r="D59" t="s">
        <v>108</v>
      </c>
      <c r="E59" t="s">
        <v>167</v>
      </c>
    </row>
    <row r="60" spans="1:5" x14ac:dyDescent="0.25">
      <c r="A60">
        <v>59</v>
      </c>
      <c r="B60">
        <f>_xlfn.XLOOKUP(D60,GenusID!B:B,GenusID!A:A)</f>
        <v>31</v>
      </c>
      <c r="C60" t="s">
        <v>145</v>
      </c>
      <c r="D60" t="s">
        <v>108</v>
      </c>
      <c r="E60" t="s">
        <v>168</v>
      </c>
    </row>
    <row r="61" spans="1:5" x14ac:dyDescent="0.25">
      <c r="A61">
        <v>60</v>
      </c>
      <c r="B61">
        <f>_xlfn.XLOOKUP(D61,GenusID!B:B,GenusID!A:A)</f>
        <v>31</v>
      </c>
      <c r="C61" t="s">
        <v>147</v>
      </c>
      <c r="D61" t="s">
        <v>108</v>
      </c>
      <c r="E61" t="s">
        <v>169</v>
      </c>
    </row>
    <row r="62" spans="1:5" x14ac:dyDescent="0.25">
      <c r="A62">
        <v>61</v>
      </c>
      <c r="B62">
        <f>_xlfn.XLOOKUP(D62,GenusID!B:B,GenusID!A:A)</f>
        <v>48</v>
      </c>
      <c r="C62" t="s">
        <v>150</v>
      </c>
      <c r="D62" t="s">
        <v>170</v>
      </c>
      <c r="E62" t="s">
        <v>171</v>
      </c>
    </row>
    <row r="63" spans="1:5" x14ac:dyDescent="0.25">
      <c r="A63">
        <v>62</v>
      </c>
      <c r="B63">
        <f>_xlfn.XLOOKUP(D63,GenusID!B:B,GenusID!A:A)</f>
        <v>33</v>
      </c>
      <c r="C63" t="s">
        <v>151</v>
      </c>
      <c r="D63" t="s">
        <v>112</v>
      </c>
      <c r="E63" t="s">
        <v>109</v>
      </c>
    </row>
    <row r="64" spans="1:5" x14ac:dyDescent="0.25">
      <c r="A64">
        <v>63</v>
      </c>
      <c r="B64">
        <f>_xlfn.XLOOKUP(D64,GenusID!B:B,GenusID!A:A)</f>
        <v>49</v>
      </c>
      <c r="C64" t="s">
        <v>172</v>
      </c>
      <c r="D64" t="s">
        <v>173</v>
      </c>
      <c r="E64" t="s">
        <v>131</v>
      </c>
    </row>
    <row r="65" spans="1:5" x14ac:dyDescent="0.25">
      <c r="A65">
        <v>64</v>
      </c>
      <c r="B65">
        <f>_xlfn.XLOOKUP(D65,GenusID!B:B,GenusID!A:A)</f>
        <v>39</v>
      </c>
      <c r="C65" t="s">
        <v>174</v>
      </c>
      <c r="D65" t="s">
        <v>138</v>
      </c>
      <c r="E65" t="s">
        <v>175</v>
      </c>
    </row>
    <row r="66" spans="1:5" x14ac:dyDescent="0.25">
      <c r="A66">
        <v>65</v>
      </c>
      <c r="B66">
        <f>_xlfn.XLOOKUP(D66,GenusID!B:B,GenusID!A:A)</f>
        <v>35</v>
      </c>
      <c r="C66" t="s">
        <v>177</v>
      </c>
      <c r="D66" t="s">
        <v>121</v>
      </c>
      <c r="E66" t="s">
        <v>176</v>
      </c>
    </row>
    <row r="67" spans="1:5" x14ac:dyDescent="0.25">
      <c r="A67">
        <v>66</v>
      </c>
      <c r="B67">
        <f>_xlfn.XLOOKUP(D67,GenusID!B:B,GenusID!A:A)</f>
        <v>30</v>
      </c>
      <c r="C67" t="s">
        <v>178</v>
      </c>
      <c r="D67" t="s">
        <v>105</v>
      </c>
      <c r="E67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"/>
  <sheetViews>
    <sheetView topLeftCell="A22" workbookViewId="0">
      <selection activeCell="B47" sqref="B47"/>
    </sheetView>
  </sheetViews>
  <sheetFormatPr defaultRowHeight="15" x14ac:dyDescent="0.25"/>
  <cols>
    <col min="1" max="1" width="8.42578125" bestFit="1" customWidth="1"/>
    <col min="2" max="2" width="18.28515625" bestFit="1" customWidth="1"/>
  </cols>
  <sheetData>
    <row r="1" spans="1:2" x14ac:dyDescent="0.25">
      <c r="A1" s="1" t="s">
        <v>126</v>
      </c>
      <c r="B1" s="1" t="s">
        <v>127</v>
      </c>
    </row>
    <row r="2" spans="1:2" x14ac:dyDescent="0.25">
      <c r="A2">
        <v>1</v>
      </c>
      <c r="B2" t="str" cm="1">
        <f t="array" ref="B2:B37">_xlfn.UNIQUE(SpeciesID!D2:D47)</f>
        <v>Boscia</v>
      </c>
    </row>
    <row r="3" spans="1:2" x14ac:dyDescent="0.25">
      <c r="A3">
        <v>2</v>
      </c>
      <c r="B3" t="str">
        <v>Bridelia</v>
      </c>
    </row>
    <row r="4" spans="1:2" x14ac:dyDescent="0.25">
      <c r="A4">
        <v>3</v>
      </c>
      <c r="B4" t="str">
        <v>Burkea</v>
      </c>
    </row>
    <row r="5" spans="1:2" x14ac:dyDescent="0.25">
      <c r="A5">
        <v>4</v>
      </c>
      <c r="B5" t="str">
        <v>Combretum</v>
      </c>
    </row>
    <row r="6" spans="1:2" x14ac:dyDescent="0.25">
      <c r="A6">
        <v>5</v>
      </c>
      <c r="B6" t="str">
        <v>Commiphora</v>
      </c>
    </row>
    <row r="7" spans="1:2" x14ac:dyDescent="0.25">
      <c r="A7">
        <v>6</v>
      </c>
      <c r="B7" t="str">
        <v>Croton</v>
      </c>
    </row>
    <row r="8" spans="1:2" x14ac:dyDescent="0.25">
      <c r="A8">
        <v>7</v>
      </c>
      <c r="B8" t="str">
        <v>Dichrostachys</v>
      </c>
    </row>
    <row r="9" spans="1:2" x14ac:dyDescent="0.25">
      <c r="A9">
        <v>8</v>
      </c>
      <c r="B9" t="str">
        <v>Diplorhynchus</v>
      </c>
    </row>
    <row r="10" spans="1:2" x14ac:dyDescent="0.25">
      <c r="A10">
        <v>9</v>
      </c>
      <c r="B10" t="str">
        <v>Dombeya</v>
      </c>
    </row>
    <row r="11" spans="1:2" x14ac:dyDescent="0.25">
      <c r="A11">
        <v>10</v>
      </c>
      <c r="B11" t="str">
        <v>Elephantorrhiza</v>
      </c>
    </row>
    <row r="12" spans="1:2" x14ac:dyDescent="0.25">
      <c r="A12">
        <v>11</v>
      </c>
      <c r="B12" t="str">
        <v>Englerophytum</v>
      </c>
    </row>
    <row r="13" spans="1:2" x14ac:dyDescent="0.25">
      <c r="A13">
        <v>12</v>
      </c>
      <c r="B13" t="str">
        <v>Euclea</v>
      </c>
    </row>
    <row r="14" spans="1:2" x14ac:dyDescent="0.25">
      <c r="A14">
        <v>13</v>
      </c>
      <c r="B14" t="str">
        <v>Gardenia</v>
      </c>
    </row>
    <row r="15" spans="1:2" x14ac:dyDescent="0.25">
      <c r="A15">
        <v>14</v>
      </c>
      <c r="B15" t="str">
        <v>Grewia</v>
      </c>
    </row>
    <row r="16" spans="1:2" x14ac:dyDescent="0.25">
      <c r="A16">
        <v>15</v>
      </c>
      <c r="B16" t="str">
        <v>Gymnosporia</v>
      </c>
    </row>
    <row r="17" spans="1:2" x14ac:dyDescent="0.25">
      <c r="A17">
        <v>16</v>
      </c>
      <c r="B17" t="str">
        <v>Heteropyxis</v>
      </c>
    </row>
    <row r="18" spans="1:2" x14ac:dyDescent="0.25">
      <c r="A18">
        <v>17</v>
      </c>
      <c r="B18" t="str">
        <v>Hexalobus</v>
      </c>
    </row>
    <row r="19" spans="1:2" x14ac:dyDescent="0.25">
      <c r="A19">
        <v>18</v>
      </c>
      <c r="B19" t="str">
        <v>Kirkia</v>
      </c>
    </row>
    <row r="20" spans="1:2" x14ac:dyDescent="0.25">
      <c r="A20">
        <v>19</v>
      </c>
      <c r="B20" t="str">
        <v>Lannea</v>
      </c>
    </row>
    <row r="21" spans="1:2" x14ac:dyDescent="0.25">
      <c r="A21">
        <v>20</v>
      </c>
      <c r="B21" t="str">
        <v>Mundulea</v>
      </c>
    </row>
    <row r="22" spans="1:2" x14ac:dyDescent="0.25">
      <c r="A22">
        <v>21</v>
      </c>
      <c r="B22" t="str">
        <v>Myrothamnus</v>
      </c>
    </row>
    <row r="23" spans="1:2" x14ac:dyDescent="0.25">
      <c r="A23">
        <v>22</v>
      </c>
      <c r="B23" t="str">
        <v>Ochna</v>
      </c>
    </row>
    <row r="24" spans="1:2" x14ac:dyDescent="0.25">
      <c r="A24">
        <v>23</v>
      </c>
      <c r="B24" t="str">
        <v>Ozoroa</v>
      </c>
    </row>
    <row r="25" spans="1:2" x14ac:dyDescent="0.25">
      <c r="A25">
        <v>24</v>
      </c>
      <c r="B25" t="str">
        <v>Pavetta</v>
      </c>
    </row>
    <row r="26" spans="1:2" x14ac:dyDescent="0.25">
      <c r="A26">
        <v>25</v>
      </c>
      <c r="B26" t="str">
        <v>Peltophorum</v>
      </c>
    </row>
    <row r="27" spans="1:2" x14ac:dyDescent="0.25">
      <c r="A27">
        <v>26</v>
      </c>
      <c r="B27" t="str">
        <v>Pseudolachnostylis</v>
      </c>
    </row>
    <row r="28" spans="1:2" x14ac:dyDescent="0.25">
      <c r="A28">
        <v>27</v>
      </c>
      <c r="B28" t="str">
        <v>Pterocarpus</v>
      </c>
    </row>
    <row r="29" spans="1:2" x14ac:dyDescent="0.25">
      <c r="A29">
        <v>28</v>
      </c>
      <c r="B29" t="str">
        <v>Rhoicissus</v>
      </c>
    </row>
    <row r="30" spans="1:2" x14ac:dyDescent="0.25">
      <c r="A30">
        <v>29</v>
      </c>
      <c r="B30" t="str">
        <v>Sclerocarya</v>
      </c>
    </row>
    <row r="31" spans="1:2" x14ac:dyDescent="0.25">
      <c r="A31">
        <v>30</v>
      </c>
      <c r="B31" t="str">
        <v>Senegalia</v>
      </c>
    </row>
    <row r="32" spans="1:2" x14ac:dyDescent="0.25">
      <c r="A32">
        <v>31</v>
      </c>
      <c r="B32" t="str">
        <v>Strychnos</v>
      </c>
    </row>
    <row r="33" spans="1:2" x14ac:dyDescent="0.25">
      <c r="A33">
        <v>32</v>
      </c>
      <c r="B33" t="str">
        <v>Terminalia</v>
      </c>
    </row>
    <row r="34" spans="1:2" x14ac:dyDescent="0.25">
      <c r="A34">
        <v>33</v>
      </c>
      <c r="B34" t="str">
        <v>Vangueria</v>
      </c>
    </row>
    <row r="35" spans="1:2" x14ac:dyDescent="0.25">
      <c r="A35">
        <v>34</v>
      </c>
      <c r="B35" t="str">
        <v>Vitex</v>
      </c>
    </row>
    <row r="36" spans="1:2" x14ac:dyDescent="0.25">
      <c r="A36">
        <v>35</v>
      </c>
      <c r="B36" t="str">
        <v>Ximenia</v>
      </c>
    </row>
    <row r="37" spans="1:2" x14ac:dyDescent="0.25">
      <c r="A37">
        <v>36</v>
      </c>
      <c r="B37" t="str">
        <v>Ziziphus</v>
      </c>
    </row>
    <row r="38" spans="1:2" x14ac:dyDescent="0.25">
      <c r="A38">
        <v>37</v>
      </c>
      <c r="B38" t="s">
        <v>130</v>
      </c>
    </row>
    <row r="39" spans="1:2" x14ac:dyDescent="0.25">
      <c r="A39">
        <v>38</v>
      </c>
      <c r="B39" t="s">
        <v>134</v>
      </c>
    </row>
    <row r="40" spans="1:2" x14ac:dyDescent="0.25">
      <c r="A40">
        <v>39</v>
      </c>
      <c r="B40" t="s">
        <v>138</v>
      </c>
    </row>
    <row r="41" spans="1:2" x14ac:dyDescent="0.25">
      <c r="A41">
        <v>40</v>
      </c>
      <c r="B41" t="s">
        <v>141</v>
      </c>
    </row>
    <row r="42" spans="1:2" x14ac:dyDescent="0.25">
      <c r="A42">
        <v>41</v>
      </c>
      <c r="B42" t="s">
        <v>155</v>
      </c>
    </row>
    <row r="43" spans="1:2" x14ac:dyDescent="0.25">
      <c r="A43">
        <v>42</v>
      </c>
      <c r="B43" t="s">
        <v>157</v>
      </c>
    </row>
    <row r="44" spans="1:2" x14ac:dyDescent="0.25">
      <c r="A44">
        <v>43</v>
      </c>
      <c r="B44" t="s">
        <v>158</v>
      </c>
    </row>
    <row r="45" spans="1:2" x14ac:dyDescent="0.25">
      <c r="A45">
        <v>44</v>
      </c>
      <c r="B45" t="s">
        <v>160</v>
      </c>
    </row>
    <row r="46" spans="1:2" x14ac:dyDescent="0.25">
      <c r="A46">
        <v>45</v>
      </c>
      <c r="B46" t="s">
        <v>161</v>
      </c>
    </row>
    <row r="47" spans="1:2" x14ac:dyDescent="0.25">
      <c r="A47">
        <v>46</v>
      </c>
      <c r="B47" t="s">
        <v>163</v>
      </c>
    </row>
    <row r="48" spans="1:2" x14ac:dyDescent="0.25">
      <c r="A48">
        <v>47</v>
      </c>
      <c r="B48" t="s">
        <v>165</v>
      </c>
    </row>
    <row r="49" spans="1:2" x14ac:dyDescent="0.25">
      <c r="A49">
        <v>48</v>
      </c>
      <c r="B49" t="s">
        <v>170</v>
      </c>
    </row>
    <row r="50" spans="1:2" x14ac:dyDescent="0.25">
      <c r="A50">
        <v>49</v>
      </c>
      <c r="B50" t="s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3134-F139-46B0-B913-F428D0448CB8}">
  <dimension ref="A1:M68"/>
  <sheetViews>
    <sheetView tabSelected="1" topLeftCell="A13" workbookViewId="0">
      <selection activeCell="B49" sqref="B49"/>
    </sheetView>
  </sheetViews>
  <sheetFormatPr defaultRowHeight="15" x14ac:dyDescent="0.25"/>
  <cols>
    <col min="1" max="1" width="9.5703125" bestFit="1" customWidth="1"/>
    <col min="2" max="2" width="8.42578125" bestFit="1" customWidth="1"/>
    <col min="3" max="3" width="32.85546875" bestFit="1" customWidth="1"/>
    <col min="4" max="4" width="18.28515625" bestFit="1" customWidth="1"/>
    <col min="5" max="5" width="17.7109375" bestFit="1" customWidth="1"/>
  </cols>
  <sheetData>
    <row r="1" spans="1:13" x14ac:dyDescent="0.25">
      <c r="A1" s="1" t="s">
        <v>0</v>
      </c>
      <c r="B1" s="1" t="s">
        <v>128</v>
      </c>
      <c r="C1" s="1" t="s">
        <v>1</v>
      </c>
      <c r="D1" s="1" t="s">
        <v>2</v>
      </c>
      <c r="E1" s="1" t="s">
        <v>3</v>
      </c>
      <c r="F1" s="3" t="s">
        <v>179</v>
      </c>
      <c r="G1" s="3" t="s">
        <v>180</v>
      </c>
      <c r="H1" s="3" t="s">
        <v>181</v>
      </c>
      <c r="I1" s="3" t="s">
        <v>182</v>
      </c>
      <c r="J1" s="3" t="s">
        <v>183</v>
      </c>
      <c r="K1" s="3" t="s">
        <v>184</v>
      </c>
      <c r="L1" s="3" t="s">
        <v>185</v>
      </c>
      <c r="M1" s="3" t="s">
        <v>186</v>
      </c>
    </row>
    <row r="2" spans="1:13" x14ac:dyDescent="0.25">
      <c r="A2" s="2">
        <v>0</v>
      </c>
      <c r="B2" s="2">
        <v>0</v>
      </c>
      <c r="C2" s="2" t="s">
        <v>129</v>
      </c>
      <c r="D2" s="2"/>
      <c r="E2" s="2"/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</row>
    <row r="3" spans="1:13" x14ac:dyDescent="0.25">
      <c r="A3">
        <v>1</v>
      </c>
      <c r="B3">
        <v>0</v>
      </c>
      <c r="C3" t="s">
        <v>4</v>
      </c>
      <c r="D3" t="s">
        <v>5</v>
      </c>
      <c r="E3" t="s">
        <v>6</v>
      </c>
      <c r="F3" t="b">
        <v>0</v>
      </c>
      <c r="G3" t="b">
        <v>0</v>
      </c>
      <c r="H3" t="b">
        <v>1</v>
      </c>
      <c r="I3" t="b">
        <v>0</v>
      </c>
      <c r="J3" t="b">
        <v>0</v>
      </c>
      <c r="K3" t="b">
        <v>0</v>
      </c>
      <c r="L3" t="b">
        <v>0</v>
      </c>
      <c r="M3" t="b">
        <v>0</v>
      </c>
    </row>
    <row r="4" spans="1:13" x14ac:dyDescent="0.25">
      <c r="A4">
        <v>2</v>
      </c>
      <c r="B4">
        <v>0</v>
      </c>
      <c r="C4" t="s">
        <v>7</v>
      </c>
      <c r="D4" t="s">
        <v>8</v>
      </c>
      <c r="E4" t="s">
        <v>9</v>
      </c>
      <c r="F4" t="b">
        <v>1</v>
      </c>
      <c r="G4" t="b">
        <v>0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</row>
    <row r="5" spans="1:13" x14ac:dyDescent="0.25">
      <c r="A5">
        <v>3</v>
      </c>
      <c r="B5">
        <v>1</v>
      </c>
      <c r="C5" t="s">
        <v>10</v>
      </c>
      <c r="D5" t="s">
        <v>11</v>
      </c>
      <c r="E5" t="s">
        <v>12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</row>
    <row r="6" spans="1:13" x14ac:dyDescent="0.25">
      <c r="A6">
        <v>4</v>
      </c>
      <c r="B6">
        <v>2</v>
      </c>
      <c r="C6" t="s">
        <v>13</v>
      </c>
      <c r="D6" t="s">
        <v>14</v>
      </c>
      <c r="E6" t="s">
        <v>15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</row>
    <row r="7" spans="1:13" x14ac:dyDescent="0.25">
      <c r="A7">
        <v>5</v>
      </c>
      <c r="B7">
        <v>3</v>
      </c>
      <c r="C7" t="s">
        <v>16</v>
      </c>
      <c r="D7" t="s">
        <v>14</v>
      </c>
      <c r="E7" t="s">
        <v>17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</row>
    <row r="8" spans="1:13" x14ac:dyDescent="0.25">
      <c r="A8">
        <v>6</v>
      </c>
      <c r="B8">
        <v>4</v>
      </c>
      <c r="C8" t="s">
        <v>18</v>
      </c>
      <c r="D8" t="s">
        <v>14</v>
      </c>
      <c r="E8" t="s">
        <v>19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</row>
    <row r="9" spans="1:13" x14ac:dyDescent="0.25">
      <c r="A9">
        <v>7</v>
      </c>
      <c r="B9">
        <v>5</v>
      </c>
      <c r="C9" t="s">
        <v>20</v>
      </c>
      <c r="D9" t="s">
        <v>21</v>
      </c>
      <c r="E9" t="s">
        <v>9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</row>
    <row r="10" spans="1:13" x14ac:dyDescent="0.25">
      <c r="A10">
        <v>8</v>
      </c>
      <c r="B10">
        <v>0</v>
      </c>
      <c r="C10" t="s">
        <v>22</v>
      </c>
      <c r="D10" t="s">
        <v>23</v>
      </c>
      <c r="E10" t="s">
        <v>24</v>
      </c>
      <c r="F10" t="b">
        <v>1</v>
      </c>
      <c r="G10" t="b">
        <v>1</v>
      </c>
      <c r="H10" t="b">
        <v>1</v>
      </c>
      <c r="I10" t="b">
        <v>0</v>
      </c>
      <c r="J10" t="b">
        <v>1</v>
      </c>
      <c r="K10" t="b">
        <v>0</v>
      </c>
      <c r="L10" t="b">
        <v>1</v>
      </c>
      <c r="M10" t="b">
        <v>1</v>
      </c>
    </row>
    <row r="11" spans="1:13" x14ac:dyDescent="0.25">
      <c r="A11">
        <v>9</v>
      </c>
      <c r="B11">
        <v>6</v>
      </c>
      <c r="C11" t="s">
        <v>25</v>
      </c>
      <c r="D11" t="s">
        <v>26</v>
      </c>
      <c r="E11" t="s">
        <v>27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</row>
    <row r="12" spans="1:13" x14ac:dyDescent="0.25">
      <c r="A12">
        <v>10</v>
      </c>
      <c r="B12">
        <v>7</v>
      </c>
      <c r="C12" t="s">
        <v>28</v>
      </c>
      <c r="D12" t="s">
        <v>29</v>
      </c>
      <c r="E12" t="s">
        <v>30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</row>
    <row r="13" spans="1:13" x14ac:dyDescent="0.25">
      <c r="A13">
        <v>11</v>
      </c>
      <c r="B13">
        <v>0</v>
      </c>
      <c r="C13" t="s">
        <v>31</v>
      </c>
      <c r="D13" t="s">
        <v>32</v>
      </c>
      <c r="E13" t="s">
        <v>33</v>
      </c>
      <c r="F13" t="b">
        <v>0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</row>
    <row r="14" spans="1:13" x14ac:dyDescent="0.25">
      <c r="A14">
        <v>12</v>
      </c>
      <c r="B14">
        <v>8</v>
      </c>
      <c r="C14" t="s">
        <v>34</v>
      </c>
      <c r="D14" t="s">
        <v>35</v>
      </c>
      <c r="E14" t="s">
        <v>36</v>
      </c>
      <c r="F14" t="b">
        <v>1</v>
      </c>
      <c r="G14" t="b">
        <v>1</v>
      </c>
      <c r="H14" t="b">
        <v>1</v>
      </c>
      <c r="I14" t="b">
        <v>0</v>
      </c>
      <c r="J14" t="b">
        <v>1</v>
      </c>
      <c r="K14" t="b">
        <v>1</v>
      </c>
      <c r="L14" t="b">
        <v>1</v>
      </c>
      <c r="M14" t="b">
        <v>1</v>
      </c>
    </row>
    <row r="15" spans="1:13" x14ac:dyDescent="0.25">
      <c r="A15">
        <v>13</v>
      </c>
      <c r="B15">
        <v>0</v>
      </c>
      <c r="C15" t="s">
        <v>37</v>
      </c>
      <c r="D15" t="s">
        <v>38</v>
      </c>
      <c r="E15" t="s">
        <v>39</v>
      </c>
      <c r="F15" t="b">
        <v>0</v>
      </c>
      <c r="G15" t="b">
        <v>0</v>
      </c>
      <c r="H15" t="b">
        <v>1</v>
      </c>
      <c r="I15" t="b">
        <v>0</v>
      </c>
      <c r="J15" t="b">
        <v>0</v>
      </c>
      <c r="K15" t="b">
        <v>0</v>
      </c>
      <c r="L15" t="b">
        <v>1</v>
      </c>
      <c r="M15" t="b">
        <v>1</v>
      </c>
    </row>
    <row r="16" spans="1:13" x14ac:dyDescent="0.25">
      <c r="A16">
        <v>14</v>
      </c>
      <c r="B16">
        <v>0</v>
      </c>
      <c r="C16" t="s">
        <v>40</v>
      </c>
      <c r="D16" t="s">
        <v>41</v>
      </c>
      <c r="E16" t="s">
        <v>42</v>
      </c>
      <c r="F16" t="b">
        <v>1</v>
      </c>
      <c r="G16" t="b">
        <v>0</v>
      </c>
      <c r="H16" t="b">
        <v>1</v>
      </c>
      <c r="I16" t="b">
        <v>0</v>
      </c>
      <c r="J16" t="b">
        <v>0</v>
      </c>
      <c r="K16" t="b">
        <v>1</v>
      </c>
      <c r="L16" t="b">
        <v>0</v>
      </c>
      <c r="M16" t="b">
        <v>0</v>
      </c>
    </row>
    <row r="17" spans="1:13" x14ac:dyDescent="0.25">
      <c r="A17">
        <v>15</v>
      </c>
      <c r="B17">
        <v>0</v>
      </c>
      <c r="C17" t="s">
        <v>43</v>
      </c>
      <c r="D17" t="s">
        <v>41</v>
      </c>
      <c r="E17" t="s">
        <v>44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</row>
    <row r="18" spans="1:13" x14ac:dyDescent="0.25">
      <c r="A18">
        <v>16</v>
      </c>
      <c r="B18">
        <v>0</v>
      </c>
      <c r="C18" t="s">
        <v>45</v>
      </c>
      <c r="D18" t="s">
        <v>46</v>
      </c>
      <c r="E18" t="s">
        <v>47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</row>
    <row r="19" spans="1:13" x14ac:dyDescent="0.25">
      <c r="A19">
        <v>17</v>
      </c>
      <c r="B19">
        <v>9</v>
      </c>
      <c r="C19" t="s">
        <v>48</v>
      </c>
      <c r="D19" t="s">
        <v>49</v>
      </c>
      <c r="E19" t="s">
        <v>50</v>
      </c>
      <c r="F19" t="b">
        <v>0</v>
      </c>
      <c r="G19" t="b">
        <v>1</v>
      </c>
      <c r="H19" t="b">
        <v>1</v>
      </c>
      <c r="I19" t="b">
        <v>0</v>
      </c>
      <c r="J19" t="b">
        <v>1</v>
      </c>
      <c r="K19" t="b">
        <v>1</v>
      </c>
      <c r="L19" t="b">
        <v>0</v>
      </c>
      <c r="M19" t="b">
        <v>0</v>
      </c>
    </row>
    <row r="20" spans="1:13" x14ac:dyDescent="0.25">
      <c r="A20">
        <v>18</v>
      </c>
      <c r="B20">
        <v>9</v>
      </c>
      <c r="C20" t="s">
        <v>51</v>
      </c>
      <c r="D20" t="s">
        <v>49</v>
      </c>
      <c r="E20" t="s">
        <v>52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</row>
    <row r="21" spans="1:13" x14ac:dyDescent="0.25">
      <c r="A21">
        <v>19</v>
      </c>
      <c r="B21">
        <v>9</v>
      </c>
      <c r="C21" t="s">
        <v>53</v>
      </c>
      <c r="D21" t="s">
        <v>49</v>
      </c>
      <c r="E21" t="s">
        <v>54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</row>
    <row r="22" spans="1:13" x14ac:dyDescent="0.25">
      <c r="A22">
        <v>20</v>
      </c>
      <c r="B22">
        <v>9</v>
      </c>
      <c r="C22" t="s">
        <v>55</v>
      </c>
      <c r="D22" t="s">
        <v>49</v>
      </c>
      <c r="E22" t="s">
        <v>56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</row>
    <row r="23" spans="1:13" x14ac:dyDescent="0.25">
      <c r="A23">
        <v>21</v>
      </c>
      <c r="B23">
        <v>9</v>
      </c>
      <c r="C23" t="s">
        <v>57</v>
      </c>
      <c r="D23" t="s">
        <v>49</v>
      </c>
      <c r="E23" t="s">
        <v>58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</row>
    <row r="24" spans="1:13" x14ac:dyDescent="0.25">
      <c r="A24">
        <v>22</v>
      </c>
      <c r="B24">
        <v>0</v>
      </c>
      <c r="C24" t="s">
        <v>59</v>
      </c>
      <c r="D24" t="s">
        <v>60</v>
      </c>
      <c r="E24" t="s">
        <v>61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</row>
    <row r="25" spans="1:13" x14ac:dyDescent="0.25">
      <c r="A25">
        <v>23</v>
      </c>
      <c r="B25">
        <v>0</v>
      </c>
      <c r="C25" t="s">
        <v>62</v>
      </c>
      <c r="D25" t="s">
        <v>63</v>
      </c>
      <c r="E25" t="s">
        <v>44</v>
      </c>
      <c r="F25" t="b">
        <v>0</v>
      </c>
      <c r="G25" t="b">
        <v>0</v>
      </c>
      <c r="H25" t="b">
        <v>1</v>
      </c>
      <c r="I25" t="b">
        <v>1</v>
      </c>
      <c r="J25" t="b">
        <v>0</v>
      </c>
      <c r="K25" t="b">
        <v>0</v>
      </c>
      <c r="L25" t="b">
        <v>1</v>
      </c>
      <c r="M25" t="b">
        <v>1</v>
      </c>
    </row>
    <row r="26" spans="1:13" x14ac:dyDescent="0.25">
      <c r="A26">
        <v>24</v>
      </c>
      <c r="B26">
        <v>0</v>
      </c>
      <c r="C26" t="s">
        <v>64</v>
      </c>
      <c r="D26" t="s">
        <v>65</v>
      </c>
      <c r="E26" t="s">
        <v>66</v>
      </c>
      <c r="F26" t="b">
        <v>1</v>
      </c>
      <c r="G26" t="b">
        <v>0</v>
      </c>
      <c r="H26" t="b">
        <v>1</v>
      </c>
      <c r="I26" t="b">
        <v>0</v>
      </c>
      <c r="J26" t="b">
        <v>0</v>
      </c>
      <c r="K26" t="b">
        <v>1</v>
      </c>
      <c r="L26" t="b">
        <v>0</v>
      </c>
      <c r="M26" t="b">
        <v>0</v>
      </c>
    </row>
    <row r="27" spans="1:13" x14ac:dyDescent="0.25">
      <c r="A27">
        <v>25</v>
      </c>
      <c r="B27">
        <v>0</v>
      </c>
      <c r="C27" t="s">
        <v>67</v>
      </c>
      <c r="D27" t="s">
        <v>68</v>
      </c>
      <c r="E27" t="s">
        <v>69</v>
      </c>
      <c r="F27" t="b">
        <v>1</v>
      </c>
      <c r="G27" t="b">
        <v>0</v>
      </c>
      <c r="H27" t="b">
        <v>1</v>
      </c>
      <c r="I27" t="b">
        <v>1</v>
      </c>
      <c r="J27" t="b">
        <v>0</v>
      </c>
      <c r="K27" t="b">
        <v>1</v>
      </c>
      <c r="L27" t="b">
        <v>0</v>
      </c>
      <c r="M27" t="b">
        <v>0</v>
      </c>
    </row>
    <row r="28" spans="1:13" x14ac:dyDescent="0.25">
      <c r="A28">
        <v>26</v>
      </c>
      <c r="B28">
        <v>10</v>
      </c>
      <c r="C28" t="s">
        <v>70</v>
      </c>
      <c r="D28" t="s">
        <v>71</v>
      </c>
      <c r="E28" t="s">
        <v>72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</row>
    <row r="29" spans="1:13" x14ac:dyDescent="0.25">
      <c r="A29">
        <v>27</v>
      </c>
      <c r="B29">
        <v>11</v>
      </c>
      <c r="C29" t="s">
        <v>73</v>
      </c>
      <c r="D29" t="s">
        <v>74</v>
      </c>
      <c r="E29" t="s">
        <v>75</v>
      </c>
      <c r="F29" t="b">
        <v>1</v>
      </c>
      <c r="G29" t="b">
        <v>1</v>
      </c>
      <c r="H29" t="b">
        <v>1</v>
      </c>
      <c r="I29" t="b">
        <v>1</v>
      </c>
      <c r="J29" t="b">
        <v>0</v>
      </c>
      <c r="K29" t="b">
        <v>1</v>
      </c>
      <c r="L29" t="b">
        <v>0</v>
      </c>
      <c r="M29" t="b">
        <v>0</v>
      </c>
    </row>
    <row r="30" spans="1:13" x14ac:dyDescent="0.25">
      <c r="A30">
        <v>28</v>
      </c>
      <c r="B30">
        <v>0</v>
      </c>
      <c r="C30" t="s">
        <v>76</v>
      </c>
      <c r="D30" t="s">
        <v>77</v>
      </c>
      <c r="E30" t="s">
        <v>78</v>
      </c>
      <c r="F30" t="b">
        <v>1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</row>
    <row r="31" spans="1:13" x14ac:dyDescent="0.25">
      <c r="A31">
        <v>29</v>
      </c>
      <c r="B31">
        <v>0</v>
      </c>
      <c r="C31" t="s">
        <v>79</v>
      </c>
      <c r="D31" t="s">
        <v>80</v>
      </c>
      <c r="E31" t="s">
        <v>81</v>
      </c>
      <c r="F31" t="b">
        <v>0</v>
      </c>
      <c r="G31" t="b">
        <v>0</v>
      </c>
      <c r="H31" t="b">
        <v>0</v>
      </c>
      <c r="I31" t="b">
        <v>1</v>
      </c>
      <c r="J31" t="b">
        <v>0</v>
      </c>
      <c r="K31" t="b">
        <v>0</v>
      </c>
      <c r="L31" t="b">
        <v>0</v>
      </c>
      <c r="M31" t="b">
        <v>0</v>
      </c>
    </row>
    <row r="32" spans="1:13" x14ac:dyDescent="0.25">
      <c r="A32">
        <v>30</v>
      </c>
      <c r="B32">
        <v>0</v>
      </c>
      <c r="C32" t="s">
        <v>82</v>
      </c>
      <c r="D32" t="s">
        <v>80</v>
      </c>
      <c r="E32" t="s">
        <v>83</v>
      </c>
      <c r="F32" t="b">
        <v>0</v>
      </c>
      <c r="G32" t="b">
        <v>0</v>
      </c>
      <c r="H32" t="b">
        <v>0</v>
      </c>
      <c r="I32" t="b">
        <v>1</v>
      </c>
      <c r="J32" t="b">
        <v>0</v>
      </c>
      <c r="K32" t="b">
        <v>0</v>
      </c>
      <c r="L32" t="b">
        <v>0</v>
      </c>
      <c r="M32" t="b">
        <v>0</v>
      </c>
    </row>
    <row r="33" spans="1:13" x14ac:dyDescent="0.25">
      <c r="A33">
        <v>31</v>
      </c>
      <c r="B33">
        <v>12</v>
      </c>
      <c r="C33" t="s">
        <v>84</v>
      </c>
      <c r="D33" t="s">
        <v>85</v>
      </c>
      <c r="E33" t="s">
        <v>86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</row>
    <row r="34" spans="1:13" x14ac:dyDescent="0.25">
      <c r="A34">
        <v>32</v>
      </c>
      <c r="B34">
        <v>0</v>
      </c>
      <c r="C34" t="s">
        <v>87</v>
      </c>
      <c r="D34" t="s">
        <v>88</v>
      </c>
      <c r="E34" t="s">
        <v>19</v>
      </c>
      <c r="F34" t="b">
        <v>1</v>
      </c>
      <c r="G34" t="b">
        <v>0</v>
      </c>
      <c r="H34" t="b">
        <v>1</v>
      </c>
      <c r="I34" t="b">
        <v>0</v>
      </c>
      <c r="J34" t="b">
        <v>1</v>
      </c>
      <c r="K34" t="b">
        <v>1</v>
      </c>
      <c r="L34" t="b">
        <v>1</v>
      </c>
      <c r="M34" t="b">
        <v>1</v>
      </c>
    </row>
    <row r="35" spans="1:13" x14ac:dyDescent="0.25">
      <c r="A35">
        <v>33</v>
      </c>
      <c r="B35">
        <v>0</v>
      </c>
      <c r="C35" t="s">
        <v>89</v>
      </c>
      <c r="D35" t="s">
        <v>90</v>
      </c>
      <c r="E35" t="s">
        <v>91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</row>
    <row r="36" spans="1:13" x14ac:dyDescent="0.25">
      <c r="A36">
        <v>34</v>
      </c>
      <c r="B36">
        <v>13</v>
      </c>
      <c r="C36" t="s">
        <v>92</v>
      </c>
      <c r="D36" t="s">
        <v>93</v>
      </c>
      <c r="E36" t="s">
        <v>94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</row>
    <row r="37" spans="1:13" x14ac:dyDescent="0.25">
      <c r="A37">
        <v>35</v>
      </c>
      <c r="B37">
        <v>14</v>
      </c>
      <c r="C37" t="s">
        <v>95</v>
      </c>
      <c r="D37" t="s">
        <v>96</v>
      </c>
      <c r="E37" t="s">
        <v>97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</row>
    <row r="38" spans="1:13" x14ac:dyDescent="0.25">
      <c r="A38">
        <v>36</v>
      </c>
      <c r="B38">
        <v>0</v>
      </c>
      <c r="C38" t="s">
        <v>98</v>
      </c>
      <c r="D38" t="s">
        <v>99</v>
      </c>
      <c r="E38" t="s">
        <v>100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</row>
    <row r="39" spans="1:13" x14ac:dyDescent="0.25">
      <c r="A39">
        <v>37</v>
      </c>
      <c r="B39">
        <v>0</v>
      </c>
      <c r="C39" t="s">
        <v>101</v>
      </c>
      <c r="D39" t="s">
        <v>102</v>
      </c>
      <c r="E39" t="s">
        <v>103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0</v>
      </c>
      <c r="M39" t="b">
        <v>0</v>
      </c>
    </row>
    <row r="40" spans="1:13" x14ac:dyDescent="0.25">
      <c r="A40">
        <v>38</v>
      </c>
      <c r="B40">
        <v>0</v>
      </c>
      <c r="C40" t="s">
        <v>104</v>
      </c>
      <c r="D40" t="s">
        <v>105</v>
      </c>
      <c r="E40" t="s">
        <v>106</v>
      </c>
      <c r="F40" t="b">
        <v>0</v>
      </c>
      <c r="G40" t="b">
        <v>0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</row>
    <row r="41" spans="1:13" x14ac:dyDescent="0.25">
      <c r="A41">
        <v>39</v>
      </c>
      <c r="B41">
        <v>0</v>
      </c>
      <c r="C41" t="s">
        <v>107</v>
      </c>
      <c r="D41" t="s">
        <v>108</v>
      </c>
      <c r="E41" t="s">
        <v>109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</row>
    <row r="42" spans="1:13" x14ac:dyDescent="0.25">
      <c r="A42">
        <v>40</v>
      </c>
      <c r="B42">
        <v>15</v>
      </c>
      <c r="C42" t="s">
        <v>110</v>
      </c>
      <c r="D42" t="s">
        <v>111</v>
      </c>
      <c r="E42" t="s">
        <v>75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</row>
    <row r="43" spans="1:13" x14ac:dyDescent="0.25">
      <c r="A43">
        <v>41</v>
      </c>
      <c r="B43">
        <v>0</v>
      </c>
      <c r="C43" t="s">
        <v>113</v>
      </c>
      <c r="D43" t="s">
        <v>112</v>
      </c>
      <c r="E43" t="s">
        <v>114</v>
      </c>
      <c r="F43" t="b">
        <v>1</v>
      </c>
      <c r="G43" t="b">
        <v>0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</row>
    <row r="44" spans="1:13" x14ac:dyDescent="0.25">
      <c r="A44">
        <v>42</v>
      </c>
      <c r="B44">
        <v>0</v>
      </c>
      <c r="C44" t="s">
        <v>136</v>
      </c>
      <c r="D44" t="s">
        <v>112</v>
      </c>
      <c r="E44" t="s">
        <v>137</v>
      </c>
      <c r="F44" t="b">
        <v>1</v>
      </c>
      <c r="G44" t="b">
        <v>0</v>
      </c>
      <c r="H44" t="b">
        <v>1</v>
      </c>
      <c r="I44" t="b">
        <v>0</v>
      </c>
      <c r="J44" t="b">
        <v>1</v>
      </c>
      <c r="K44" t="b">
        <v>1</v>
      </c>
      <c r="L44" t="b">
        <v>1</v>
      </c>
      <c r="M44" t="b">
        <v>1</v>
      </c>
    </row>
    <row r="45" spans="1:13" x14ac:dyDescent="0.25">
      <c r="A45">
        <v>43</v>
      </c>
      <c r="B45">
        <v>0</v>
      </c>
      <c r="C45" t="s">
        <v>115</v>
      </c>
      <c r="D45" t="s">
        <v>116</v>
      </c>
      <c r="E45" t="s">
        <v>117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</row>
    <row r="46" spans="1:13" x14ac:dyDescent="0.25">
      <c r="A46">
        <v>44</v>
      </c>
      <c r="B46">
        <v>0</v>
      </c>
      <c r="C46" t="s">
        <v>118</v>
      </c>
      <c r="D46" t="s">
        <v>116</v>
      </c>
      <c r="E46" t="s">
        <v>119</v>
      </c>
      <c r="F46" t="b">
        <v>0</v>
      </c>
      <c r="G46" t="b">
        <v>1</v>
      </c>
      <c r="H46" t="b">
        <v>1</v>
      </c>
      <c r="I46" t="b">
        <v>1</v>
      </c>
      <c r="J46" t="b">
        <v>1</v>
      </c>
      <c r="K46" t="b">
        <v>0</v>
      </c>
      <c r="L46" t="b">
        <v>1</v>
      </c>
      <c r="M46" t="b">
        <v>1</v>
      </c>
    </row>
    <row r="47" spans="1:13" x14ac:dyDescent="0.25">
      <c r="A47">
        <v>45</v>
      </c>
      <c r="B47">
        <v>0</v>
      </c>
      <c r="C47" t="s">
        <v>120</v>
      </c>
      <c r="D47" t="s">
        <v>121</v>
      </c>
      <c r="E47" t="s">
        <v>122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</row>
    <row r="48" spans="1:13" x14ac:dyDescent="0.25">
      <c r="A48">
        <v>46</v>
      </c>
      <c r="B48">
        <v>0</v>
      </c>
      <c r="C48" t="s">
        <v>123</v>
      </c>
      <c r="D48" t="s">
        <v>124</v>
      </c>
      <c r="E48" t="s">
        <v>125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</row>
    <row r="49" spans="1:13" x14ac:dyDescent="0.25">
      <c r="A49">
        <v>47</v>
      </c>
      <c r="B49">
        <v>0</v>
      </c>
      <c r="C49" t="s">
        <v>132</v>
      </c>
      <c r="D49" t="s">
        <v>130</v>
      </c>
      <c r="E49" t="s">
        <v>131</v>
      </c>
      <c r="F49" t="b">
        <v>1</v>
      </c>
      <c r="G49" t="b">
        <v>1</v>
      </c>
      <c r="H49" t="b">
        <v>1</v>
      </c>
      <c r="I49" t="b">
        <v>0</v>
      </c>
      <c r="J49" t="b">
        <v>1</v>
      </c>
      <c r="K49" t="b">
        <v>1</v>
      </c>
      <c r="L49" t="b">
        <v>1</v>
      </c>
      <c r="M49" t="b">
        <v>1</v>
      </c>
    </row>
    <row r="50" spans="1:13" x14ac:dyDescent="0.25">
      <c r="A50">
        <v>48</v>
      </c>
      <c r="B50">
        <v>0</v>
      </c>
      <c r="C50" t="s">
        <v>133</v>
      </c>
      <c r="D50" t="s">
        <v>134</v>
      </c>
      <c r="E50" t="s">
        <v>131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</row>
    <row r="51" spans="1:13" x14ac:dyDescent="0.25">
      <c r="A51">
        <v>49</v>
      </c>
      <c r="B51">
        <v>0</v>
      </c>
      <c r="C51" t="s">
        <v>135</v>
      </c>
      <c r="D51" t="s">
        <v>138</v>
      </c>
      <c r="E51" t="s">
        <v>139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</row>
    <row r="52" spans="1:13" x14ac:dyDescent="0.25">
      <c r="A52">
        <v>50</v>
      </c>
      <c r="B52">
        <v>0</v>
      </c>
      <c r="C52" t="s">
        <v>140</v>
      </c>
      <c r="D52" t="s">
        <v>141</v>
      </c>
      <c r="E52" t="s">
        <v>142</v>
      </c>
      <c r="F52" t="b">
        <v>1</v>
      </c>
      <c r="G52" t="b">
        <v>0</v>
      </c>
      <c r="H52" t="b">
        <v>1</v>
      </c>
      <c r="I52" t="b">
        <v>1</v>
      </c>
      <c r="J52" t="b">
        <v>0</v>
      </c>
      <c r="K52" t="b">
        <v>0</v>
      </c>
      <c r="L52" t="b">
        <v>1</v>
      </c>
      <c r="M52" t="b">
        <v>1</v>
      </c>
    </row>
    <row r="53" spans="1:13" x14ac:dyDescent="0.25">
      <c r="A53">
        <v>51</v>
      </c>
      <c r="B53">
        <v>0</v>
      </c>
      <c r="C53" t="s">
        <v>144</v>
      </c>
      <c r="D53" t="s">
        <v>155</v>
      </c>
      <c r="E53" t="s">
        <v>156</v>
      </c>
      <c r="F53" t="b">
        <v>0</v>
      </c>
      <c r="G53" t="b">
        <v>0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</row>
    <row r="54" spans="1:13" x14ac:dyDescent="0.25">
      <c r="A54">
        <v>52</v>
      </c>
      <c r="B54">
        <v>0</v>
      </c>
      <c r="C54" t="s">
        <v>143</v>
      </c>
      <c r="D54" t="s">
        <v>157</v>
      </c>
      <c r="E54" t="s">
        <v>19</v>
      </c>
      <c r="F54" t="b">
        <v>0</v>
      </c>
      <c r="G54" t="b">
        <v>0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</row>
    <row r="55" spans="1:13" x14ac:dyDescent="0.25">
      <c r="A55">
        <v>53</v>
      </c>
      <c r="B55">
        <v>0</v>
      </c>
      <c r="C55" t="s">
        <v>154</v>
      </c>
      <c r="D55" t="s">
        <v>158</v>
      </c>
      <c r="E55" t="s">
        <v>159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</row>
    <row r="56" spans="1:13" x14ac:dyDescent="0.25">
      <c r="A56">
        <v>54</v>
      </c>
      <c r="B56">
        <v>0</v>
      </c>
      <c r="C56" t="s">
        <v>148</v>
      </c>
      <c r="D56" t="s">
        <v>160</v>
      </c>
      <c r="E56" t="s">
        <v>19</v>
      </c>
      <c r="F56" t="b">
        <v>0</v>
      </c>
      <c r="G56" t="b">
        <v>0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</row>
    <row r="57" spans="1:13" x14ac:dyDescent="0.25">
      <c r="A57">
        <v>55</v>
      </c>
      <c r="B57">
        <v>0</v>
      </c>
      <c r="C57" t="s">
        <v>149</v>
      </c>
      <c r="D57" t="s">
        <v>161</v>
      </c>
      <c r="E57" t="s">
        <v>162</v>
      </c>
      <c r="F57" t="b">
        <v>0</v>
      </c>
      <c r="G57" t="b">
        <v>0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</row>
    <row r="58" spans="1:13" x14ac:dyDescent="0.25">
      <c r="A58">
        <v>56</v>
      </c>
      <c r="B58">
        <v>0</v>
      </c>
      <c r="C58" t="s">
        <v>152</v>
      </c>
      <c r="D58" t="s">
        <v>163</v>
      </c>
      <c r="E58" t="s">
        <v>164</v>
      </c>
      <c r="F58" t="b">
        <v>0</v>
      </c>
      <c r="G58" t="b">
        <v>0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</row>
    <row r="59" spans="1:13" x14ac:dyDescent="0.25">
      <c r="A59">
        <v>57</v>
      </c>
      <c r="B59">
        <v>0</v>
      </c>
      <c r="C59" t="s">
        <v>153</v>
      </c>
      <c r="D59" t="s">
        <v>165</v>
      </c>
      <c r="E59" t="s">
        <v>166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</row>
    <row r="60" spans="1:13" x14ac:dyDescent="0.25">
      <c r="A60">
        <v>58</v>
      </c>
      <c r="B60">
        <v>0</v>
      </c>
      <c r="C60" t="s">
        <v>146</v>
      </c>
      <c r="D60" t="s">
        <v>108</v>
      </c>
      <c r="E60" t="s">
        <v>167</v>
      </c>
      <c r="F60" t="b">
        <v>0</v>
      </c>
      <c r="G60" t="b">
        <v>0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</row>
    <row r="61" spans="1:13" x14ac:dyDescent="0.25">
      <c r="A61">
        <v>59</v>
      </c>
      <c r="B61">
        <v>0</v>
      </c>
      <c r="C61" t="s">
        <v>145</v>
      </c>
      <c r="D61" t="s">
        <v>108</v>
      </c>
      <c r="E61" t="s">
        <v>168</v>
      </c>
      <c r="F61" t="b">
        <v>0</v>
      </c>
      <c r="G61" t="b">
        <v>0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b">
        <v>0</v>
      </c>
    </row>
    <row r="62" spans="1:13" x14ac:dyDescent="0.25">
      <c r="A62">
        <v>60</v>
      </c>
      <c r="B62">
        <v>0</v>
      </c>
      <c r="C62" t="s">
        <v>147</v>
      </c>
      <c r="D62" t="s">
        <v>108</v>
      </c>
      <c r="E62" t="s">
        <v>169</v>
      </c>
      <c r="F62" t="b">
        <v>0</v>
      </c>
      <c r="G62" t="b">
        <v>0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</row>
    <row r="63" spans="1:13" x14ac:dyDescent="0.25">
      <c r="A63">
        <v>61</v>
      </c>
      <c r="B63">
        <v>0</v>
      </c>
      <c r="C63" t="s">
        <v>150</v>
      </c>
      <c r="D63" t="s">
        <v>170</v>
      </c>
      <c r="E63" t="s">
        <v>171</v>
      </c>
      <c r="F63" t="b">
        <v>0</v>
      </c>
      <c r="G63" t="b">
        <v>0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</row>
    <row r="64" spans="1:13" x14ac:dyDescent="0.25">
      <c r="A64">
        <v>62</v>
      </c>
      <c r="B64">
        <v>0</v>
      </c>
      <c r="C64" t="s">
        <v>151</v>
      </c>
      <c r="D64" t="s">
        <v>112</v>
      </c>
      <c r="E64" t="s">
        <v>109</v>
      </c>
      <c r="F64" t="b">
        <v>0</v>
      </c>
      <c r="G64" t="b">
        <v>0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</row>
    <row r="65" spans="1:13" x14ac:dyDescent="0.25">
      <c r="A65">
        <v>63</v>
      </c>
      <c r="B65">
        <v>0</v>
      </c>
      <c r="C65" t="s">
        <v>172</v>
      </c>
      <c r="D65" t="s">
        <v>173</v>
      </c>
      <c r="E65" t="s">
        <v>131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</row>
    <row r="66" spans="1:13" x14ac:dyDescent="0.25">
      <c r="A66">
        <v>64</v>
      </c>
      <c r="B66">
        <v>0</v>
      </c>
      <c r="C66" t="s">
        <v>174</v>
      </c>
      <c r="D66" t="s">
        <v>138</v>
      </c>
      <c r="E66" t="s">
        <v>175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</row>
    <row r="67" spans="1:13" x14ac:dyDescent="0.25">
      <c r="A67">
        <v>65</v>
      </c>
      <c r="B67">
        <v>0</v>
      </c>
      <c r="C67" t="s">
        <v>177</v>
      </c>
      <c r="D67" t="s">
        <v>121</v>
      </c>
      <c r="E67" t="s">
        <v>176</v>
      </c>
      <c r="F67" t="b">
        <v>0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</row>
    <row r="68" spans="1:13" x14ac:dyDescent="0.25">
      <c r="A68">
        <v>66</v>
      </c>
      <c r="B68">
        <v>0</v>
      </c>
      <c r="C68" t="s">
        <v>178</v>
      </c>
      <c r="D68" t="s">
        <v>105</v>
      </c>
      <c r="E68" t="s">
        <v>36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</row>
  </sheetData>
  <phoneticPr fontId="18" type="noConversion"/>
  <conditionalFormatting sqref="B2:B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591DDD13-37D8-4F2B-8A88-AE8A3B057132}">
            <xm:f>Options!$A$2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" operator="equal" id="{C0BA5A44-A4FF-4230-81D5-597C1D21D3E4}">
            <xm:f>Options!$A$3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F2:M68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124CE0-C53B-40CF-AA8F-7A5DA1081BCD}">
          <x14:formula1>
            <xm:f>Options!$A$2:$A$3</xm:f>
          </x14:formula1>
          <xm:sqref>F2:M68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147DC-8EB6-4F95-8113-7E0BAB22461E}">
  <dimension ref="A1:A3"/>
  <sheetViews>
    <sheetView workbookViewId="0">
      <selection activeCell="C8" sqref="C8"/>
    </sheetView>
  </sheetViews>
  <sheetFormatPr defaultRowHeight="15" x14ac:dyDescent="0.25"/>
  <sheetData>
    <row r="1" spans="1:1" x14ac:dyDescent="0.25">
      <c r="A1" s="1" t="s">
        <v>187</v>
      </c>
    </row>
    <row r="2" spans="1:1" x14ac:dyDescent="0.25">
      <c r="A2" t="b">
        <v>1</v>
      </c>
    </row>
    <row r="3" spans="1:1" x14ac:dyDescent="0.25">
      <c r="A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SpeciesID</vt:lpstr>
      <vt:lpstr>GenusID</vt:lpstr>
      <vt:lpstr>Dictionary</vt:lpstr>
      <vt:lpstr>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R. Popp</cp:lastModifiedBy>
  <dcterms:created xsi:type="dcterms:W3CDTF">2021-05-17T16:51:09Z</dcterms:created>
  <dcterms:modified xsi:type="dcterms:W3CDTF">2022-06-18T15:43:32Z</dcterms:modified>
</cp:coreProperties>
</file>